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ba4cd82c548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估结果" sheetId="1" r:id="R6a8a928e3ecc447e"/>
    <x:sheet xmlns:r="http://schemas.openxmlformats.org/officeDocument/2006/relationships" name="项目台账" sheetId="2" r:id="R2c620c40689a4a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"/>
    <x:numFmt numFmtId="202" formatCode="yyyy-mm-dd"/>
  </x:numFmts>
  <x:fonts count="4">
    <x:font>
      <x:sz val="11"/>
      <x:name val="Carlito"/>
    </x:font>
    <x:font>
      <x:b/>
      <x:sz val="16"/>
      <x:color rgb="FF25324D"/>
      <x:name val="Carlito"/>
    </x:font>
    <x:font>
      <x:b/>
      <x:sz val="11"/>
      <x:color rgb="FFFFFFFF"/>
      <x:name val="Carlito"/>
    </x:font>
    <x:font>
      <x:b/>
      <x:sz val="16"/>
      <x:color rgb="FF4A315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8ECF8"/>
      </x:patternFill>
    </x:fill>
    <x:fill>
      <x:patternFill patternType="solid">
        <x:fgColor rgb="FF536FAE"/>
      </x:patternFill>
    </x:fill>
    <x:fill>
      <x:patternFill patternType="solid">
        <x:fgColor rgb="FFF4E8F1"/>
      </x:patternFill>
    </x:fill>
    <x:fill>
      <x:patternFill patternType="solid">
        <x:fgColor rgb="FF765785"/>
      </x:patternFill>
    </x:fill>
  </x:fills>
  <x:borders count="10">
    <x:border/>
    <x:border>
      <x:right style="thin">
        <x:color rgb="FFD9DEEA"/>
      </x:right>
      <x:bottom style="thin">
        <x:color rgb="FFD9DEEA"/>
      </x:bottom>
    </x:border>
    <x:border>
      <x:left style="thin">
        <x:color rgb="FFD9DEEA"/>
      </x:left>
      <x:right style="thin">
        <x:color rgb="FFD9DEEA"/>
      </x:right>
      <x:bottom style="thin">
        <x:color rgb="FFD9DEEA"/>
      </x:bottom>
    </x:border>
    <x:border>
      <x:left style="thin">
        <x:color rgb="FFD9DEEA"/>
      </x:left>
      <x:bottom style="thin">
        <x:color rgb="FFD9DEEA"/>
      </x:bottom>
    </x:border>
    <x:border>
      <x:right style="thin">
        <x:color rgb="FFD9DEEA"/>
      </x:right>
      <x:top style="thin">
        <x:color rgb="FFD9DEEA"/>
      </x:top>
      <x:bottom style="thin">
        <x:color rgb="FFD9DEEA"/>
      </x:bottom>
    </x:border>
    <x:border>
      <x:left style="thin">
        <x:color rgb="FFD9DEEA"/>
      </x:left>
      <x:right style="thin">
        <x:color rgb="FFD9DEEA"/>
      </x:right>
      <x:top style="thin">
        <x:color rgb="FFD9DEEA"/>
      </x:top>
      <x:bottom style="thin">
        <x:color rgb="FFD9DEEA"/>
      </x:bottom>
    </x:border>
    <x:border>
      <x:left style="thin">
        <x:color rgb="FFD9DEEA"/>
      </x:left>
      <x:top style="thin">
        <x:color rgb="FFD9DEEA"/>
      </x:top>
      <x:bottom style="thin">
        <x:color rgb="FFD9DEEA"/>
      </x:bottom>
    </x:border>
    <x:border>
      <x:right style="thin">
        <x:color rgb="FFD9DEEA"/>
      </x:right>
      <x:top style="thin">
        <x:color rgb="FFD9DEEA"/>
      </x:top>
    </x:border>
    <x:border>
      <x:left style="thin">
        <x:color rgb="FFD9DEEA"/>
      </x:left>
      <x:right style="thin">
        <x:color rgb="FFD9DEEA"/>
      </x:right>
      <x:top style="thin">
        <x:color rgb="FFD9DEEA"/>
      </x:top>
    </x:border>
    <x:border>
      <x:left style="thin">
        <x:color rgb="FFD9DEEA"/>
      </x:left>
      <x:top style="thin">
        <x:color rgb="FFD9DEEA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45f6641b0c44bc" /><Relationship Type="http://schemas.openxmlformats.org/officeDocument/2006/relationships/theme" Target="/xl/theme/theme1.xml" Id="R7ae1d5105f9c44ae" /><Relationship Type="http://schemas.openxmlformats.org/officeDocument/2006/relationships/sharedStrings" Target="/xl/sharedStrings.xml" Id="R14151fbc0ecd446e" /><Relationship Type="http://schemas.openxmlformats.org/officeDocument/2006/relationships/worksheet" Target="/xl/worksheets/sheet1.xml" Id="R6a8a928e3ecc447e" /><Relationship Type="http://schemas.openxmlformats.org/officeDocument/2006/relationships/worksheet" Target="/xl/worksheets/sheet2.xml" Id="R2c620c40689a4a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</x:cols>
  <x:sheetData>
    <x:row r="1">
      <x:c r="A1" s="3" t="str">
        <x:v>归航计划检索效果评估</x:v>
      </x:c>
      <x:c r="B1" s="3"/>
      <x:c r="C1" s="3"/>
      <x:c r="D1" s="3"/>
      <x:c r="E1" s="3"/>
    </x:row>
    <x:row r="3">
      <x:c r="A3" s="6" t="str">
        <x:v>方案</x:v>
      </x:c>
      <x:c r="B3" s="7" t="str">
        <x:v>Recall@10</x:v>
      </x:c>
      <x:c r="C3" s="7" t="str">
        <x:v>P95延迟(ms)</x:v>
      </x:c>
      <x:c r="D3" s="7" t="str">
        <x:v>查询数</x:v>
      </x:c>
      <x:c r="E3" s="8" t="str">
        <x:v>是否达标</x:v>
      </x:c>
    </x:row>
    <x:row r="4">
      <x:c r="A4" s="9" t="str">
        <x:v>文件名</x:v>
      </x:c>
      <x:c r="B4" s="15" t="n">
        <x:v>0.72</x:v>
      </x:c>
      <x:c r="C4" s="17" t="n">
        <x:v>86</x:v>
      </x:c>
      <x:c r="D4" s="17" t="n">
        <x:v>50</x:v>
      </x:c>
      <x:c r="E4" s="11" t="str">
        <x:f>IF(B4&gt;=0.9,"是","否")</x:f>
        <x:v>否</x:v>
      </x:c>
    </x:row>
    <x:row r="5">
      <x:c r="A5" s="9" t="str">
        <x:v>全文FTS5</x:v>
      </x:c>
      <x:c r="B5" s="15" t="n">
        <x:v>0.84</x:v>
      </x:c>
      <x:c r="C5" s="17" t="n">
        <x:v>218</x:v>
      </x:c>
      <x:c r="D5" s="17" t="n">
        <x:v>50</x:v>
      </x:c>
      <x:c r="E5" s="11" t="str">
        <x:f>IF(B5&gt;=0.9,"是","否")</x:f>
        <x:v>否</x:v>
      </x:c>
    </x:row>
    <x:row r="6">
      <x:c r="A6" s="9" t="str">
        <x:v>语义向量</x:v>
      </x:c>
      <x:c r="B6" s="15" t="n">
        <x:v>0.88</x:v>
      </x:c>
      <x:c r="C6" s="17" t="n">
        <x:v>1860</x:v>
      </x:c>
      <x:c r="D6" s="17" t="n">
        <x:v>50</x:v>
      </x:c>
      <x:c r="E6" s="11" t="str">
        <x:f>IF(B6&gt;=0.9,"是","否")</x:f>
        <x:v>否</x:v>
      </x:c>
    </x:row>
    <x:row r="7">
      <x:c r="A7" s="12" t="str">
        <x:v>混合RRF(k=60)</x:v>
      </x:c>
      <x:c r="B7" s="16" t="n">
        <x:v>0.94</x:v>
      </x:c>
      <x:c r="C7" s="18" t="n">
        <x:v>2360</x:v>
      </x:c>
      <x:c r="D7" s="18" t="n">
        <x:v>50</x:v>
      </x:c>
      <x:c r="E7" s="14" t="str">
        <x:f>IF(B7&gt;=0.9,"是","否")</x:f>
        <x:v>是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0" t="str">
        <x:v>项目台账</x:v>
      </x:c>
      <x:c r="B1" s="20"/>
      <x:c r="C1" s="20"/>
      <x:c r="D1" s="20"/>
    </x:row>
    <x:row r="3">
      <x:c r="A3" s="22" t="str">
        <x:v>项目编号</x:v>
      </x:c>
      <x:c r="B3" s="22" t="str">
        <x:v>负责人</x:v>
      </x:c>
      <x:c r="C3" s="22" t="str">
        <x:v>预算(元)</x:v>
      </x:c>
      <x:c r="D3" s="22" t="str">
        <x:v>评审日期</x:v>
      </x:c>
    </x:row>
    <x:row r="4">
      <x:c r="A4" t="str">
        <x:v>GH-2025-017</x:v>
      </x:c>
      <x:c r="B4" t="str">
        <x:v>林晓岚</x:v>
      </x:c>
      <x:c r="C4" s="23" t="n">
        <x:v>286500</x:v>
      </x:c>
      <x:c r="D4" s="24" t="n">
        <x:v>45979</x:v>
      </x:c>
    </x:row>
    <x:row r="5">
      <x:c r="A5" t="str">
        <x:v>GH-2025-018</x:v>
      </x:c>
      <x:c r="B5" t="str">
        <x:v>周予安</x:v>
      </x:c>
      <x:c r="C5" s="23" t="n">
        <x:v>92000</x:v>
      </x:c>
      <x:c r="D5" s="24" t="n">
        <x:v>45993</x:v>
      </x:c>
    </x:row>
    <x:row r="6">
      <x:c r="A6" t="str">
        <x:v>GH-2025-019</x:v>
      </x:c>
      <x:c r="B6" t="str">
        <x:v>陈默</x:v>
      </x:c>
      <x:c r="C6" s="23" t="n">
        <x:v>86000</x:v>
      </x:c>
      <x:c r="D6" s="24" t="n">
        <x:v>45926</x:v>
      </x:c>
    </x:row>
    <x:row r="7">
      <x:c r="A7" t="str">
        <x:v>合计</x:v>
      </x:c>
      <x:c r="B7" t="str"/>
      <x:c r="C7" s="23" t="n">
        <x:f>SUM(C4:C6)</x:f>
        <x:v>464500</x:v>
      </x:c>
      <x:c r="D7"/>
    </x:row>
  </x:sheetData>
  <x:mergeCells>
    <x:mergeCell ref="A1:D1"/>
  </x:mergeCells>
  <x:pageMargins left="0.7" right="0.7" top="0.75" bottom="0.75" header="0.3" footer="0.3"/>
</x:worksheet>
</file>